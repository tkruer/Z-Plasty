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ylerkruer/Desktop/"/>
    </mc:Choice>
  </mc:AlternateContent>
  <xr:revisionPtr revIDLastSave="0" documentId="13_ncr:1_{44E25455-200C-CE4A-8C20-374355401CA1}" xr6:coauthVersionLast="47" xr6:coauthVersionMax="47" xr10:uidLastSave="{00000000-0000-0000-0000-000000000000}"/>
  <bookViews>
    <workbookView xWindow="25780" yWindow="720" windowWidth="23360" windowHeight="19860" activeTab="3" xr2:uid="{483365B7-F2AF-42EA-A442-FB627B6578B5}"/>
  </bookViews>
  <sheets>
    <sheet name="Basic Z Length" sheetId="1" r:id="rId1"/>
    <sheet name="Arms" sheetId="3" r:id="rId2"/>
    <sheet name="Angles" sheetId="2" r:id="rId3"/>
    <sheet name="Single vs Seri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4" l="1"/>
  <c r="B16" i="4" s="1"/>
  <c r="E14" i="4"/>
  <c r="B12" i="4"/>
  <c r="B5" i="4"/>
  <c r="B6" i="4" s="1"/>
  <c r="H4" i="4"/>
  <c r="H5" i="4" s="1"/>
  <c r="E4" i="4"/>
  <c r="E5" i="4" s="1"/>
  <c r="E6" i="4" s="1"/>
  <c r="B4" i="4" s="1"/>
  <c r="E8" i="4" s="1"/>
  <c r="E9" i="4" s="1"/>
  <c r="E3" i="4"/>
  <c r="H2" i="4"/>
  <c r="E2" i="4"/>
  <c r="T3" i="2"/>
  <c r="N6" i="2"/>
  <c r="N7" i="2" s="1"/>
  <c r="Q4" i="2"/>
  <c r="Q5" i="2"/>
  <c r="E17" i="1"/>
  <c r="B14" i="3"/>
  <c r="B13" i="3" s="1"/>
  <c r="B11" i="3"/>
  <c r="E10" i="3"/>
  <c r="E9" i="3"/>
  <c r="B7" i="3"/>
  <c r="B6" i="3" s="1"/>
  <c r="B4" i="3"/>
  <c r="E11" i="2"/>
  <c r="B13" i="2"/>
  <c r="E10" i="2" s="1"/>
  <c r="B6" i="2"/>
  <c r="E3" i="2" s="1"/>
  <c r="E4" i="2"/>
  <c r="E11" i="1"/>
  <c r="E10" i="1"/>
  <c r="E9" i="1"/>
  <c r="E4" i="1"/>
  <c r="E3" i="1"/>
  <c r="E2" i="1"/>
  <c r="B13" i="4" l="1"/>
  <c r="H12" i="4" s="1"/>
  <c r="H14" i="4" s="1"/>
  <c r="H15" i="4" s="1"/>
  <c r="Q3" i="2"/>
  <c r="E11" i="3"/>
  <c r="E12" i="3" s="1"/>
  <c r="E13" i="3" s="1"/>
  <c r="E4" i="3"/>
  <c r="E3" i="3"/>
  <c r="E2" i="3"/>
  <c r="E9" i="2"/>
  <c r="E12" i="2" s="1"/>
  <c r="E13" i="2" s="1"/>
  <c r="E2" i="2"/>
  <c r="E5" i="2" s="1"/>
  <c r="E6" i="2" s="1"/>
  <c r="E12" i="1"/>
  <c r="E13" i="1" s="1"/>
  <c r="E5" i="1"/>
  <c r="E6" i="1" s="1"/>
  <c r="B4" i="2" l="1"/>
  <c r="E16" i="2"/>
  <c r="E18" i="2" s="1"/>
  <c r="E12" i="4"/>
  <c r="E13" i="4"/>
  <c r="Q6" i="2"/>
  <c r="Q7" i="2" s="1"/>
  <c r="N5" i="2" s="1"/>
  <c r="B11" i="1"/>
  <c r="E16" i="1"/>
  <c r="E5" i="3"/>
  <c r="E6" i="3" s="1"/>
  <c r="E16" i="3" s="1"/>
  <c r="B11" i="2"/>
  <c r="B4" i="1"/>
  <c r="E15" i="4" l="1"/>
  <c r="E16" i="4" s="1"/>
  <c r="B14" i="4" s="1"/>
  <c r="E18" i="4" s="1"/>
  <c r="E19" i="4" s="1"/>
  <c r="Q9" i="2" l="1"/>
  <c r="Q10" i="2" s="1"/>
  <c r="T5" i="2" l="1"/>
  <c r="T6" i="2" s="1"/>
</calcChain>
</file>

<file path=xl/sharedStrings.xml><?xml version="1.0" encoding="utf-8"?>
<sst xmlns="http://schemas.openxmlformats.org/spreadsheetml/2006/main" count="185" uniqueCount="37">
  <si>
    <t>a</t>
  </si>
  <si>
    <t>b</t>
  </si>
  <si>
    <t>c</t>
  </si>
  <si>
    <t>A</t>
  </si>
  <si>
    <t>B</t>
  </si>
  <si>
    <t>C</t>
  </si>
  <si>
    <t>a^2+b^2</t>
  </si>
  <si>
    <t>2ab</t>
  </si>
  <si>
    <t>cos C</t>
  </si>
  <si>
    <t>0.5 Length</t>
  </si>
  <si>
    <t>c^2</t>
  </si>
  <si>
    <t>Flap 1</t>
  </si>
  <si>
    <t>Flap 2</t>
  </si>
  <si>
    <t>X</t>
  </si>
  <si>
    <t>Y</t>
  </si>
  <si>
    <t>Z</t>
  </si>
  <si>
    <t>Central</t>
  </si>
  <si>
    <t>3 inputs are needed</t>
  </si>
  <si>
    <t>1) flap 1 arm</t>
  </si>
  <si>
    <t>2) flap2 arm</t>
  </si>
  <si>
    <t>Single Z-Plasty</t>
  </si>
  <si>
    <t>Series Z-Plasty</t>
  </si>
  <si>
    <t>Increase</t>
  </si>
  <si>
    <t>%  increase</t>
  </si>
  <si>
    <t>central</t>
  </si>
  <si>
    <t>UPDATE</t>
  </si>
  <si>
    <t>Flap 1/2</t>
  </si>
  <si>
    <t>assumptions: wound (b*2) and arm (a) length are controlled.  Alternate interior angles (C in flap 1 and counter for flap 2) are equal.</t>
  </si>
  <si>
    <t>Angle</t>
  </si>
  <si>
    <t>Yellow Highlight indicates input</t>
  </si>
  <si>
    <t>3) wound size (original size that differs from arms)</t>
  </si>
  <si>
    <t xml:space="preserve">% increase </t>
  </si>
  <si>
    <t>C less than 90</t>
  </si>
  <si>
    <t>Proof for C = 90</t>
  </si>
  <si>
    <t>Series Z-Plasty (3 in a row)</t>
  </si>
  <si>
    <t xml:space="preserve">C= 90 creates a vertical flip. A becomes C. </t>
  </si>
  <si>
    <t>A requires an IF to process this change.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</si>
</sst>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/>
    <xf numFmtId="0" fontId="0" fillId="0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Single vs Series Z-Plasty</a:t>
            </a:r>
            <a:r>
              <a:rPr lang="en-US" baseline="0"/>
              <a:t> Increase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'Single vs Series'!$L$2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tint val="5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tint val="58000"/>
                </a:schemeClr>
              </a:solidFill>
              <a:ln w="9525">
                <a:solidFill>
                  <a:schemeClr val="accent1">
                    <a:tint val="58000"/>
                  </a:schemeClr>
                </a:solidFill>
              </a:ln>
              <a:effectLst/>
            </c:spPr>
          </c:marker>
          <c:xVal>
            <c:numRef>
              <c:f>'Single vs Series'!$K$3:$K$7</c:f>
              <c:numCache>
                <c:formatCode>General</c:formatCode>
                <c:ptCount val="5"/>
                <c:pt idx="0">
                  <c:v>30</c:v>
                </c:pt>
                <c:pt idx="1">
                  <c:v>45</c:v>
                </c:pt>
                <c:pt idx="2">
                  <c:v>60</c:v>
                </c:pt>
                <c:pt idx="3">
                  <c:v>75</c:v>
                </c:pt>
                <c:pt idx="4">
                  <c:v>90</c:v>
                </c:pt>
              </c:numCache>
            </c:numRef>
          </c:xVal>
          <c:yVal>
            <c:numRef>
              <c:f>'Single vs Series'!$L$3:$L$7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11-4067-957A-2040887870ED}"/>
            </c:ext>
          </c:extLst>
        </c:ser>
        <c:ser>
          <c:idx val="1"/>
          <c:order val="1"/>
          <c:tx>
            <c:strRef>
              <c:f>'Single vs Series'!$L$1</c:f>
              <c:strCache>
                <c:ptCount val="1"/>
                <c:pt idx="0">
                  <c:v>Single Z-Plasty</c:v>
                </c:pt>
              </c:strCache>
            </c:strRef>
          </c:tx>
          <c:spPr>
            <a:ln w="19050" cap="rnd">
              <a:solidFill>
                <a:schemeClr val="accent1">
                  <a:tint val="8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tint val="86000"/>
                </a:schemeClr>
              </a:solidFill>
              <a:ln w="9525">
                <a:solidFill>
                  <a:schemeClr val="accent1">
                    <a:tint val="86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tint val="86000"/>
                  </a:schemeClr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9.2248687664041998E-2"/>
                  <c:y val="9.2175925925925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'Single vs Series'!$K$3:$K$7</c:f>
              <c:numCache>
                <c:formatCode>General</c:formatCode>
                <c:ptCount val="5"/>
                <c:pt idx="0">
                  <c:v>30</c:v>
                </c:pt>
                <c:pt idx="1">
                  <c:v>45</c:v>
                </c:pt>
                <c:pt idx="2">
                  <c:v>60</c:v>
                </c:pt>
                <c:pt idx="3">
                  <c:v>75</c:v>
                </c:pt>
                <c:pt idx="4">
                  <c:v>90</c:v>
                </c:pt>
              </c:numCache>
            </c:numRef>
          </c:xVal>
          <c:yVal>
            <c:numRef>
              <c:f>'Single vs Series'!$M$3:$M$7</c:f>
              <c:numCache>
                <c:formatCode>General</c:formatCode>
                <c:ptCount val="5"/>
                <c:pt idx="0">
                  <c:v>3.0982841873186895</c:v>
                </c:pt>
                <c:pt idx="1">
                  <c:v>3.6840643955197514</c:v>
                </c:pt>
                <c:pt idx="2">
                  <c:v>4.3301270189221936</c:v>
                </c:pt>
                <c:pt idx="3">
                  <c:v>4.9779035619864098</c:v>
                </c:pt>
                <c:pt idx="4">
                  <c:v>5.5901699437494745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11-4067-957A-2040887870ED}"/>
            </c:ext>
          </c:extLst>
        </c:ser>
        <c:ser>
          <c:idx val="2"/>
          <c:order val="2"/>
          <c:tx>
            <c:strRef>
              <c:f>'Single vs Series'!$N$2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shade val="8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shade val="86000"/>
                </a:schemeClr>
              </a:solidFill>
              <a:ln w="9525">
                <a:solidFill>
                  <a:schemeClr val="accent1">
                    <a:shade val="86000"/>
                  </a:schemeClr>
                </a:solidFill>
              </a:ln>
              <a:effectLst/>
            </c:spPr>
          </c:marker>
          <c:xVal>
            <c:numRef>
              <c:f>'Single vs Series'!$K$3:$K$7</c:f>
              <c:numCache>
                <c:formatCode>General</c:formatCode>
                <c:ptCount val="5"/>
                <c:pt idx="0">
                  <c:v>30</c:v>
                </c:pt>
                <c:pt idx="1">
                  <c:v>45</c:v>
                </c:pt>
                <c:pt idx="2">
                  <c:v>60</c:v>
                </c:pt>
                <c:pt idx="3">
                  <c:v>75</c:v>
                </c:pt>
                <c:pt idx="4">
                  <c:v>90</c:v>
                </c:pt>
              </c:numCache>
            </c:numRef>
          </c:xVal>
          <c:yVal>
            <c:numRef>
              <c:f>'Single vs Series'!$N$3:$N$7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11-4067-957A-2040887870ED}"/>
            </c:ext>
          </c:extLst>
        </c:ser>
        <c:ser>
          <c:idx val="3"/>
          <c:order val="3"/>
          <c:tx>
            <c:strRef>
              <c:f>'Single vs Series'!$N$1</c:f>
              <c:strCache>
                <c:ptCount val="1"/>
                <c:pt idx="0">
                  <c:v>Series Z-Plasty</c:v>
                </c:pt>
              </c:strCache>
            </c:strRef>
          </c:tx>
          <c:spPr>
            <a:ln w="19050" cap="rnd">
              <a:solidFill>
                <a:schemeClr val="accent1">
                  <a:shade val="5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shade val="58000"/>
                </a:schemeClr>
              </a:solidFill>
              <a:ln w="9525">
                <a:solidFill>
                  <a:schemeClr val="accent1">
                    <a:shade val="58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shade val="58000"/>
                  </a:schemeClr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8.2359798775153106E-2"/>
                  <c:y val="9.926545640128317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'Single vs Series'!$K$3:$K$7</c:f>
              <c:numCache>
                <c:formatCode>General</c:formatCode>
                <c:ptCount val="5"/>
                <c:pt idx="0">
                  <c:v>30</c:v>
                </c:pt>
                <c:pt idx="1">
                  <c:v>45</c:v>
                </c:pt>
                <c:pt idx="2">
                  <c:v>60</c:v>
                </c:pt>
                <c:pt idx="3">
                  <c:v>75</c:v>
                </c:pt>
                <c:pt idx="4">
                  <c:v>90</c:v>
                </c:pt>
              </c:numCache>
            </c:numRef>
          </c:xVal>
          <c:yVal>
            <c:numRef>
              <c:f>'Single vs Series'!$O$3:$O$7</c:f>
              <c:numCache>
                <c:formatCode>General</c:formatCode>
                <c:ptCount val="5"/>
                <c:pt idx="0">
                  <c:v>1.0327613957728965</c:v>
                </c:pt>
                <c:pt idx="1">
                  <c:v>1.2280214651732506</c:v>
                </c:pt>
                <c:pt idx="2">
                  <c:v>1.4433756729740645</c:v>
                </c:pt>
                <c:pt idx="3">
                  <c:v>1.6593011873288033</c:v>
                </c:pt>
                <c:pt idx="4">
                  <c:v>1.8633899812498249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11-4067-957A-204088787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930864"/>
        <c:axId val="763931280"/>
      </c:scatterChart>
      <c:valAx>
        <c:axId val="76393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Angle</a:t>
                </a:r>
                <a:r>
                  <a:rPr lang="en-US" baseline="0"/>
                  <a:t> (Degrees)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931280"/>
        <c:crosses val="autoZero"/>
        <c:crossBetween val="midCat"/>
      </c:valAx>
      <c:valAx>
        <c:axId val="76393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 of Increase (units)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930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2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11</xdr:row>
      <xdr:rowOff>0</xdr:rowOff>
    </xdr:from>
    <xdr:to>
      <xdr:col>10</xdr:col>
      <xdr:colOff>533400</xdr:colOff>
      <xdr:row>11</xdr:row>
      <xdr:rowOff>9525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F201B93-B6CD-4C1E-BAD3-FF7D16458D4D}"/>
            </a:ext>
          </a:extLst>
        </xdr:cNvPr>
        <xdr:cNvCxnSpPr/>
      </xdr:nvCxnSpPr>
      <xdr:spPr>
        <a:xfrm flipV="1">
          <a:off x="4343400" y="2095500"/>
          <a:ext cx="228600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33336</xdr:colOff>
      <xdr:row>0</xdr:row>
      <xdr:rowOff>0</xdr:rowOff>
    </xdr:from>
    <xdr:to>
      <xdr:col>8</xdr:col>
      <xdr:colOff>42861</xdr:colOff>
      <xdr:row>12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E18CB20-5E71-4637-82CF-B188181C4306}"/>
            </a:ext>
          </a:extLst>
        </xdr:cNvPr>
        <xdr:cNvCxnSpPr/>
      </xdr:nvCxnSpPr>
      <xdr:spPr>
        <a:xfrm rot="-3600000" flipV="1">
          <a:off x="3771899" y="1138237"/>
          <a:ext cx="22860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10</xdr:row>
      <xdr:rowOff>57151</xdr:rowOff>
    </xdr:from>
    <xdr:to>
      <xdr:col>9</xdr:col>
      <xdr:colOff>581025</xdr:colOff>
      <xdr:row>22</xdr:row>
      <xdr:rowOff>57151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B2C16948-8CBB-4E81-B867-31417160232D}"/>
            </a:ext>
          </a:extLst>
        </xdr:cNvPr>
        <xdr:cNvCxnSpPr/>
      </xdr:nvCxnSpPr>
      <xdr:spPr>
        <a:xfrm rot="-3600000" flipV="1">
          <a:off x="4919663" y="3100388"/>
          <a:ext cx="22860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590550</xdr:colOff>
      <xdr:row>0</xdr:row>
      <xdr:rowOff>123825</xdr:rowOff>
    </xdr:from>
    <xdr:to>
      <xdr:col>17</xdr:col>
      <xdr:colOff>600075</xdr:colOff>
      <xdr:row>21</xdr:row>
      <xdr:rowOff>82677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7C5D6BD6-2A84-49D6-BADF-C688C84A6DA6}"/>
            </a:ext>
          </a:extLst>
        </xdr:cNvPr>
        <xdr:cNvCxnSpPr/>
      </xdr:nvCxnSpPr>
      <xdr:spPr>
        <a:xfrm>
          <a:off x="10953750" y="123825"/>
          <a:ext cx="9525" cy="3959352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38099</xdr:colOff>
      <xdr:row>0</xdr:row>
      <xdr:rowOff>0</xdr:rowOff>
    </xdr:from>
    <xdr:to>
      <xdr:col>17</xdr:col>
      <xdr:colOff>47624</xdr:colOff>
      <xdr:row>12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1554366-1E9E-4081-BD1A-E927AD43852D}"/>
            </a:ext>
          </a:extLst>
        </xdr:cNvPr>
        <xdr:cNvCxnSpPr/>
      </xdr:nvCxnSpPr>
      <xdr:spPr>
        <a:xfrm rot="-3600000" flipV="1">
          <a:off x="9263062" y="1138237"/>
          <a:ext cx="22860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571501</xdr:colOff>
      <xdr:row>10</xdr:row>
      <xdr:rowOff>114300</xdr:rowOff>
    </xdr:from>
    <xdr:to>
      <xdr:col>18</xdr:col>
      <xdr:colOff>581026</xdr:colOff>
      <xdr:row>22</xdr:row>
      <xdr:rowOff>114300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FA86B8F4-5F0B-4041-A8E8-E3E755246FD7}"/>
            </a:ext>
          </a:extLst>
        </xdr:cNvPr>
        <xdr:cNvCxnSpPr/>
      </xdr:nvCxnSpPr>
      <xdr:spPr>
        <a:xfrm rot="-3600000" flipV="1">
          <a:off x="10406064" y="3157537"/>
          <a:ext cx="22860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85725</xdr:colOff>
      <xdr:row>11</xdr:row>
      <xdr:rowOff>38100</xdr:rowOff>
    </xdr:from>
    <xdr:to>
      <xdr:col>19</xdr:col>
      <xdr:colOff>542925</xdr:colOff>
      <xdr:row>11</xdr:row>
      <xdr:rowOff>47625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E2A17611-7435-4B02-9184-08C70EE6AFA6}"/>
            </a:ext>
          </a:extLst>
        </xdr:cNvPr>
        <xdr:cNvCxnSpPr/>
      </xdr:nvCxnSpPr>
      <xdr:spPr>
        <a:xfrm flipV="1">
          <a:off x="9839325" y="2133600"/>
          <a:ext cx="2286000" cy="9525"/>
        </a:xfrm>
        <a:prstGeom prst="line">
          <a:avLst/>
        </a:prstGeom>
        <a:ln>
          <a:gradFill>
            <a:gsLst>
              <a:gs pos="0">
                <a:schemeClr val="tx1"/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246184</xdr:colOff>
      <xdr:row>2</xdr:row>
      <xdr:rowOff>96413</xdr:rowOff>
    </xdr:from>
    <xdr:to>
      <xdr:col>14</xdr:col>
      <xdr:colOff>407218</xdr:colOff>
      <xdr:row>14</xdr:row>
      <xdr:rowOff>62579</xdr:rowOff>
    </xdr:to>
    <xdr:sp macro="" textlink="">
      <xdr:nvSpPr>
        <xdr:cNvPr id="18" name="Isosceles Triangle 17">
          <a:extLst>
            <a:ext uri="{FF2B5EF4-FFF2-40B4-BE49-F238E27FC236}">
              <a16:creationId xmlns:a16="http://schemas.microsoft.com/office/drawing/2014/main" id="{018CE2DF-B03F-4F89-904D-5679B0C5421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 rot="14427042">
          <a:off x="6820618" y="608579"/>
          <a:ext cx="2252166" cy="1989834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209551</xdr:colOff>
      <xdr:row>7</xdr:row>
      <xdr:rowOff>152401</xdr:rowOff>
    </xdr:from>
    <xdr:to>
      <xdr:col>15</xdr:col>
      <xdr:colOff>342901</xdr:colOff>
      <xdr:row>19</xdr:row>
      <xdr:rowOff>133351</xdr:rowOff>
    </xdr:to>
    <xdr:sp macro="" textlink="">
      <xdr:nvSpPr>
        <xdr:cNvPr id="19" name="Isosceles Triangle 18">
          <a:extLst>
            <a:ext uri="{FF2B5EF4-FFF2-40B4-BE49-F238E27FC236}">
              <a16:creationId xmlns:a16="http://schemas.microsoft.com/office/drawing/2014/main" id="{4CC04991-B1F5-4979-8D65-8E418410CA44}"/>
            </a:ext>
          </a:extLst>
        </xdr:cNvPr>
        <xdr:cNvSpPr/>
      </xdr:nvSpPr>
      <xdr:spPr>
        <a:xfrm rot="3600000">
          <a:off x="7372351" y="1638301"/>
          <a:ext cx="2266950" cy="196215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342902</xdr:colOff>
      <xdr:row>0</xdr:row>
      <xdr:rowOff>152403</xdr:rowOff>
    </xdr:from>
    <xdr:to>
      <xdr:col>24</xdr:col>
      <xdr:colOff>273179</xdr:colOff>
      <xdr:row>21</xdr:row>
      <xdr:rowOff>76205</xdr:rowOff>
    </xdr:to>
    <xdr:sp macro="" textlink="">
      <xdr:nvSpPr>
        <xdr:cNvPr id="23" name="Isosceles Triangle 22">
          <a:extLst>
            <a:ext uri="{FF2B5EF4-FFF2-40B4-BE49-F238E27FC236}">
              <a16:creationId xmlns:a16="http://schemas.microsoft.com/office/drawing/2014/main" id="{B177F532-850C-41D2-A685-9F863627543B}"/>
            </a:ext>
          </a:extLst>
        </xdr:cNvPr>
        <xdr:cNvSpPr/>
      </xdr:nvSpPr>
      <xdr:spPr>
        <a:xfrm rot="5400000">
          <a:off x="12366690" y="1539815"/>
          <a:ext cx="3924302" cy="1149477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400052</xdr:colOff>
      <xdr:row>0</xdr:row>
      <xdr:rowOff>161924</xdr:rowOff>
    </xdr:from>
    <xdr:to>
      <xdr:col>22</xdr:col>
      <xdr:colOff>330329</xdr:colOff>
      <xdr:row>21</xdr:row>
      <xdr:rowOff>85726</xdr:rowOff>
    </xdr:to>
    <xdr:sp macro="" textlink="">
      <xdr:nvSpPr>
        <xdr:cNvPr id="24" name="Isosceles Triangle 23">
          <a:extLst>
            <a:ext uri="{FF2B5EF4-FFF2-40B4-BE49-F238E27FC236}">
              <a16:creationId xmlns:a16="http://schemas.microsoft.com/office/drawing/2014/main" id="{6A6B9151-0ED2-4589-92C4-48D5F4F4C999}"/>
            </a:ext>
          </a:extLst>
        </xdr:cNvPr>
        <xdr:cNvSpPr/>
      </xdr:nvSpPr>
      <xdr:spPr>
        <a:xfrm rot="16200000">
          <a:off x="11204640" y="1549336"/>
          <a:ext cx="3924302" cy="1149477"/>
        </a:xfrm>
        <a:prstGeom prst="triangle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11</xdr:row>
      <xdr:rowOff>0</xdr:rowOff>
    </xdr:from>
    <xdr:to>
      <xdr:col>10</xdr:col>
      <xdr:colOff>533400</xdr:colOff>
      <xdr:row>11</xdr:row>
      <xdr:rowOff>9525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ACA28C9B-AD7F-4133-BCC3-08CC7B01A3C0}"/>
            </a:ext>
          </a:extLst>
        </xdr:cNvPr>
        <xdr:cNvCxnSpPr/>
      </xdr:nvCxnSpPr>
      <xdr:spPr>
        <a:xfrm flipV="1">
          <a:off x="4343400" y="2095500"/>
          <a:ext cx="228600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33336</xdr:colOff>
      <xdr:row>0</xdr:row>
      <xdr:rowOff>0</xdr:rowOff>
    </xdr:from>
    <xdr:to>
      <xdr:col>8</xdr:col>
      <xdr:colOff>42861</xdr:colOff>
      <xdr:row>12</xdr:row>
      <xdr:rowOff>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9A073EA-6B6F-4B20-A64A-B7B036F94B46}"/>
            </a:ext>
          </a:extLst>
        </xdr:cNvPr>
        <xdr:cNvCxnSpPr/>
      </xdr:nvCxnSpPr>
      <xdr:spPr>
        <a:xfrm rot="-3600000" flipV="1">
          <a:off x="3771899" y="1138237"/>
          <a:ext cx="22860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10</xdr:row>
      <xdr:rowOff>57151</xdr:rowOff>
    </xdr:from>
    <xdr:to>
      <xdr:col>9</xdr:col>
      <xdr:colOff>581025</xdr:colOff>
      <xdr:row>22</xdr:row>
      <xdr:rowOff>57151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83BCC80-B2D2-4279-B07F-2B2CA5AE173B}"/>
            </a:ext>
          </a:extLst>
        </xdr:cNvPr>
        <xdr:cNvCxnSpPr/>
      </xdr:nvCxnSpPr>
      <xdr:spPr>
        <a:xfrm rot="-3600000" flipV="1">
          <a:off x="4919663" y="3100388"/>
          <a:ext cx="22860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11</xdr:row>
      <xdr:rowOff>0</xdr:rowOff>
    </xdr:from>
    <xdr:to>
      <xdr:col>10</xdr:col>
      <xdr:colOff>533400</xdr:colOff>
      <xdr:row>11</xdr:row>
      <xdr:rowOff>9525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7BD87259-9B41-490A-B624-095A507D3494}"/>
            </a:ext>
          </a:extLst>
        </xdr:cNvPr>
        <xdr:cNvCxnSpPr/>
      </xdr:nvCxnSpPr>
      <xdr:spPr>
        <a:xfrm flipV="1">
          <a:off x="4343400" y="2095500"/>
          <a:ext cx="228600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33336</xdr:colOff>
      <xdr:row>0</xdr:row>
      <xdr:rowOff>0</xdr:rowOff>
    </xdr:from>
    <xdr:to>
      <xdr:col>8</xdr:col>
      <xdr:colOff>42861</xdr:colOff>
      <xdr:row>12</xdr:row>
      <xdr:rowOff>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4A94E9AE-5F9C-4826-AC45-F618592A93E6}"/>
            </a:ext>
          </a:extLst>
        </xdr:cNvPr>
        <xdr:cNvCxnSpPr/>
      </xdr:nvCxnSpPr>
      <xdr:spPr>
        <a:xfrm rot="-3600000" flipV="1">
          <a:off x="3771899" y="1138237"/>
          <a:ext cx="22860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10</xdr:row>
      <xdr:rowOff>57151</xdr:rowOff>
    </xdr:from>
    <xdr:to>
      <xdr:col>9</xdr:col>
      <xdr:colOff>581025</xdr:colOff>
      <xdr:row>22</xdr:row>
      <xdr:rowOff>57151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DC2C58E-E0D3-42C6-A192-87FA4CF19A7B}"/>
            </a:ext>
          </a:extLst>
        </xdr:cNvPr>
        <xdr:cNvCxnSpPr/>
      </xdr:nvCxnSpPr>
      <xdr:spPr>
        <a:xfrm rot="-3600000" flipV="1">
          <a:off x="4919663" y="3100388"/>
          <a:ext cx="22860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76200</xdr:colOff>
      <xdr:row>34</xdr:row>
      <xdr:rowOff>0</xdr:rowOff>
    </xdr:from>
    <xdr:to>
      <xdr:col>10</xdr:col>
      <xdr:colOff>533400</xdr:colOff>
      <xdr:row>34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A02493C4-F2C0-4481-87BE-532726417E15}"/>
            </a:ext>
          </a:extLst>
        </xdr:cNvPr>
        <xdr:cNvCxnSpPr/>
      </xdr:nvCxnSpPr>
      <xdr:spPr>
        <a:xfrm flipV="1">
          <a:off x="4343400" y="2095500"/>
          <a:ext cx="228600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80961</xdr:colOff>
      <xdr:row>22</xdr:row>
      <xdr:rowOff>9525</xdr:rowOff>
    </xdr:from>
    <xdr:to>
      <xdr:col>7</xdr:col>
      <xdr:colOff>90486</xdr:colOff>
      <xdr:row>34</xdr:row>
      <xdr:rowOff>9525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962FC9C0-5752-47EE-80CD-F83C90685FBC}"/>
            </a:ext>
          </a:extLst>
        </xdr:cNvPr>
        <xdr:cNvCxnSpPr/>
      </xdr:nvCxnSpPr>
      <xdr:spPr>
        <a:xfrm rot="-5400000" flipV="1">
          <a:off x="3209924" y="5338762"/>
          <a:ext cx="22860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523875</xdr:colOff>
      <xdr:row>33</xdr:row>
      <xdr:rowOff>180976</xdr:rowOff>
    </xdr:from>
    <xdr:to>
      <xdr:col>10</xdr:col>
      <xdr:colOff>533400</xdr:colOff>
      <xdr:row>45</xdr:row>
      <xdr:rowOff>180976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470028E0-5C69-477C-BA56-4552129211A2}"/>
            </a:ext>
          </a:extLst>
        </xdr:cNvPr>
        <xdr:cNvCxnSpPr/>
      </xdr:nvCxnSpPr>
      <xdr:spPr>
        <a:xfrm rot="-5400000" flipV="1">
          <a:off x="5481638" y="7605713"/>
          <a:ext cx="22860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135256</xdr:colOff>
      <xdr:row>21</xdr:row>
      <xdr:rowOff>29249</xdr:rowOff>
    </xdr:from>
    <xdr:to>
      <xdr:col>8</xdr:col>
      <xdr:colOff>144781</xdr:colOff>
      <xdr:row>34</xdr:row>
      <xdr:rowOff>113069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79CE246C-ADAD-4CC5-A579-963B73B89700}"/>
            </a:ext>
          </a:extLst>
        </xdr:cNvPr>
        <xdr:cNvCxnSpPr/>
      </xdr:nvCxnSpPr>
      <xdr:spPr>
        <a:xfrm rot="3600000" flipV="1">
          <a:off x="3736659" y="5305146"/>
          <a:ext cx="2560320" cy="9525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10</xdr:row>
      <xdr:rowOff>4762</xdr:rowOff>
    </xdr:from>
    <xdr:to>
      <xdr:col>16</xdr:col>
      <xdr:colOff>314325</xdr:colOff>
      <xdr:row>24</xdr:row>
      <xdr:rowOff>80962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6BF7C5-2407-4201-92F2-2C43C339E6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3425F-EEA2-4923-8816-719FDD08AE7F}">
  <sheetPr codeName="Sheet1"/>
  <dimension ref="A1:Y22"/>
  <sheetViews>
    <sheetView workbookViewId="0">
      <selection activeCell="E17" sqref="E17"/>
    </sheetView>
  </sheetViews>
  <sheetFormatPr baseColWidth="10" defaultColWidth="8.83203125" defaultRowHeight="15" x14ac:dyDescent="0.2"/>
  <sheetData>
    <row r="1" spans="1:25" x14ac:dyDescent="0.2">
      <c r="A1" t="s">
        <v>11</v>
      </c>
      <c r="N1" s="3" t="s">
        <v>14</v>
      </c>
      <c r="W1" s="2" t="s">
        <v>14</v>
      </c>
    </row>
    <row r="2" spans="1:25" x14ac:dyDescent="0.2">
      <c r="A2" t="s">
        <v>0</v>
      </c>
      <c r="B2">
        <v>2.5</v>
      </c>
      <c r="D2" t="s">
        <v>6</v>
      </c>
      <c r="E2">
        <f>(B2^2+B3^2)</f>
        <v>7.8125</v>
      </c>
      <c r="W2" s="1"/>
    </row>
    <row r="3" spans="1:25" x14ac:dyDescent="0.2">
      <c r="A3" t="s">
        <v>1</v>
      </c>
      <c r="B3">
        <v>1.25</v>
      </c>
      <c r="D3" t="s">
        <v>7</v>
      </c>
      <c r="E3">
        <f>2*B2*B3</f>
        <v>6.25</v>
      </c>
      <c r="H3" t="s">
        <v>11</v>
      </c>
      <c r="I3" s="1" t="s">
        <v>4</v>
      </c>
    </row>
    <row r="4" spans="1:25" x14ac:dyDescent="0.2">
      <c r="A4" t="s">
        <v>2</v>
      </c>
      <c r="B4">
        <f>E6</f>
        <v>2.1650635094610964</v>
      </c>
      <c r="D4" t="s">
        <v>8</v>
      </c>
      <c r="E4">
        <f>COS(RADIANS(B7))</f>
        <v>0.50000000000000011</v>
      </c>
      <c r="Q4" t="s">
        <v>12</v>
      </c>
    </row>
    <row r="5" spans="1:25" x14ac:dyDescent="0.2">
      <c r="A5" t="s">
        <v>3</v>
      </c>
      <c r="B5">
        <v>90</v>
      </c>
      <c r="D5" t="s">
        <v>10</v>
      </c>
      <c r="E5">
        <f>E2-(E3*E4)</f>
        <v>4.6874999999999991</v>
      </c>
    </row>
    <row r="6" spans="1:25" x14ac:dyDescent="0.2">
      <c r="A6" t="s">
        <v>4</v>
      </c>
      <c r="B6">
        <v>30</v>
      </c>
      <c r="D6" t="s">
        <v>9</v>
      </c>
      <c r="E6">
        <f>SQRT(E5)</f>
        <v>2.1650635094610964</v>
      </c>
      <c r="H6" s="1" t="s">
        <v>0</v>
      </c>
    </row>
    <row r="7" spans="1:25" x14ac:dyDescent="0.2">
      <c r="A7" t="s">
        <v>5</v>
      </c>
      <c r="B7">
        <v>60</v>
      </c>
      <c r="J7" t="s">
        <v>2</v>
      </c>
    </row>
    <row r="8" spans="1:25" x14ac:dyDescent="0.2">
      <c r="A8" t="s">
        <v>12</v>
      </c>
    </row>
    <row r="9" spans="1:25" x14ac:dyDescent="0.2">
      <c r="A9" t="s">
        <v>0</v>
      </c>
      <c r="B9">
        <v>2.5</v>
      </c>
      <c r="D9" t="s">
        <v>6</v>
      </c>
      <c r="E9">
        <f>(B9^2+B10^2)</f>
        <v>7.8125</v>
      </c>
    </row>
    <row r="10" spans="1:25" x14ac:dyDescent="0.2">
      <c r="A10" t="s">
        <v>1</v>
      </c>
      <c r="B10">
        <v>1.25</v>
      </c>
      <c r="D10" t="s">
        <v>7</v>
      </c>
      <c r="E10">
        <f>2*B9*B10</f>
        <v>6.25</v>
      </c>
    </row>
    <row r="11" spans="1:25" x14ac:dyDescent="0.2">
      <c r="A11" t="s">
        <v>2</v>
      </c>
      <c r="B11">
        <f>E13</f>
        <v>2.1650635094610964</v>
      </c>
      <c r="D11" t="s">
        <v>8</v>
      </c>
      <c r="E11">
        <f>COS(RADIANS(B14))</f>
        <v>0.50000000000000011</v>
      </c>
      <c r="H11" s="2" t="s">
        <v>5</v>
      </c>
      <c r="I11" s="1" t="s">
        <v>3</v>
      </c>
      <c r="L11" s="2" t="s">
        <v>13</v>
      </c>
      <c r="P11" s="2" t="s">
        <v>15</v>
      </c>
    </row>
    <row r="12" spans="1:25" x14ac:dyDescent="0.2">
      <c r="A12" t="s">
        <v>3</v>
      </c>
      <c r="B12">
        <v>90</v>
      </c>
      <c r="D12" t="s">
        <v>10</v>
      </c>
      <c r="E12">
        <f>E9-(E10*E11)</f>
        <v>4.6874999999999991</v>
      </c>
      <c r="I12" t="s">
        <v>1</v>
      </c>
      <c r="T12" s="2"/>
      <c r="Y12" s="2" t="s">
        <v>15</v>
      </c>
    </row>
    <row r="13" spans="1:25" x14ac:dyDescent="0.2">
      <c r="A13" t="s">
        <v>4</v>
      </c>
      <c r="B13">
        <v>30</v>
      </c>
      <c r="D13" t="s">
        <v>9</v>
      </c>
      <c r="E13">
        <f>SQRT(E12)</f>
        <v>2.1650635094610964</v>
      </c>
    </row>
    <row r="14" spans="1:25" x14ac:dyDescent="0.2">
      <c r="A14" t="s">
        <v>5</v>
      </c>
      <c r="B14">
        <v>60</v>
      </c>
    </row>
    <row r="16" spans="1:25" x14ac:dyDescent="0.2">
      <c r="D16" t="s">
        <v>16</v>
      </c>
      <c r="E16">
        <f>E6+E13</f>
        <v>4.3301270189221928</v>
      </c>
    </row>
    <row r="17" spans="5:23" x14ac:dyDescent="0.2">
      <c r="E17">
        <f>E16/B2*100-100</f>
        <v>73.205080756887725</v>
      </c>
    </row>
    <row r="18" spans="5:23" x14ac:dyDescent="0.2">
      <c r="T18" t="s">
        <v>11</v>
      </c>
    </row>
    <row r="19" spans="5:23" x14ac:dyDescent="0.2">
      <c r="K19" t="s">
        <v>12</v>
      </c>
      <c r="O19" s="2"/>
    </row>
    <row r="22" spans="5:23" x14ac:dyDescent="0.2">
      <c r="W22" s="1" t="s">
        <v>13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3393F-6DF4-458C-A855-7FB337137581}">
  <sheetPr codeName="Sheet3"/>
  <dimension ref="A1:K23"/>
  <sheetViews>
    <sheetView workbookViewId="0">
      <selection activeCell="A3" sqref="A3"/>
    </sheetView>
  </sheetViews>
  <sheetFormatPr baseColWidth="10" defaultColWidth="8.83203125" defaultRowHeight="15" x14ac:dyDescent="0.2"/>
  <sheetData>
    <row r="1" spans="1:10" x14ac:dyDescent="0.2">
      <c r="A1" t="s">
        <v>11</v>
      </c>
    </row>
    <row r="2" spans="1:10" x14ac:dyDescent="0.2">
      <c r="A2" s="4" t="s">
        <v>0</v>
      </c>
      <c r="B2" s="4">
        <v>5</v>
      </c>
      <c r="D2" t="s">
        <v>6</v>
      </c>
      <c r="E2">
        <f>(B2^2+B3^2)</f>
        <v>31.25</v>
      </c>
    </row>
    <row r="3" spans="1:10" x14ac:dyDescent="0.2">
      <c r="A3" s="4" t="s">
        <v>1</v>
      </c>
      <c r="B3">
        <v>2.5</v>
      </c>
      <c r="D3" t="s">
        <v>7</v>
      </c>
      <c r="E3">
        <f>2*B2*B3</f>
        <v>25</v>
      </c>
      <c r="H3" t="s">
        <v>11</v>
      </c>
      <c r="I3" s="1" t="s">
        <v>4</v>
      </c>
    </row>
    <row r="4" spans="1:10" x14ac:dyDescent="0.2">
      <c r="A4" t="s">
        <v>2</v>
      </c>
      <c r="B4">
        <f>B2^2-B3^2</f>
        <v>18.75</v>
      </c>
      <c r="D4" t="s">
        <v>8</v>
      </c>
      <c r="E4">
        <f>COS(RADIANS(B7))</f>
        <v>0.50000000000000011</v>
      </c>
    </row>
    <row r="5" spans="1:10" x14ac:dyDescent="0.2">
      <c r="A5" t="s">
        <v>3</v>
      </c>
      <c r="B5">
        <v>90</v>
      </c>
      <c r="D5" t="s">
        <v>10</v>
      </c>
      <c r="E5">
        <f>E2-(E3*E4)</f>
        <v>18.749999999999996</v>
      </c>
    </row>
    <row r="6" spans="1:10" x14ac:dyDescent="0.2">
      <c r="A6" t="s">
        <v>4</v>
      </c>
      <c r="B6">
        <f>180-(B5+B7)</f>
        <v>30</v>
      </c>
      <c r="D6" t="s">
        <v>9</v>
      </c>
      <c r="E6">
        <f>SQRT(E5)</f>
        <v>4.3301270189221928</v>
      </c>
      <c r="H6" s="1" t="s">
        <v>0</v>
      </c>
    </row>
    <row r="7" spans="1:10" x14ac:dyDescent="0.2">
      <c r="A7" t="s">
        <v>5</v>
      </c>
      <c r="B7">
        <f>DEGREES(ACOS(B3/B2))</f>
        <v>59.999999999999993</v>
      </c>
      <c r="J7" t="s">
        <v>2</v>
      </c>
    </row>
    <row r="8" spans="1:10" x14ac:dyDescent="0.2">
      <c r="A8" t="s">
        <v>12</v>
      </c>
    </row>
    <row r="9" spans="1:10" x14ac:dyDescent="0.2">
      <c r="A9" s="4" t="s">
        <v>0</v>
      </c>
      <c r="B9" s="4">
        <v>5</v>
      </c>
      <c r="D9" t="s">
        <v>6</v>
      </c>
      <c r="E9">
        <f>(B9^2+B10^2)</f>
        <v>31.25</v>
      </c>
    </row>
    <row r="10" spans="1:10" x14ac:dyDescent="0.2">
      <c r="A10" s="4" t="s">
        <v>1</v>
      </c>
      <c r="B10">
        <v>2.5</v>
      </c>
      <c r="D10" t="s">
        <v>7</v>
      </c>
      <c r="E10">
        <f>2*B9*B10</f>
        <v>25</v>
      </c>
    </row>
    <row r="11" spans="1:10" x14ac:dyDescent="0.2">
      <c r="A11" t="s">
        <v>2</v>
      </c>
      <c r="B11">
        <f>B9^2-B10^2</f>
        <v>18.75</v>
      </c>
      <c r="D11" t="s">
        <v>8</v>
      </c>
      <c r="E11">
        <f>COS(RADIANS(B14))</f>
        <v>0.50000000000000011</v>
      </c>
      <c r="H11" s="2" t="s">
        <v>5</v>
      </c>
      <c r="I11" s="1" t="s">
        <v>3</v>
      </c>
    </row>
    <row r="12" spans="1:10" x14ac:dyDescent="0.2">
      <c r="A12" t="s">
        <v>3</v>
      </c>
      <c r="B12">
        <v>90</v>
      </c>
      <c r="D12" t="s">
        <v>10</v>
      </c>
      <c r="E12">
        <f>E9-(E10*E11)</f>
        <v>18.749999999999996</v>
      </c>
      <c r="I12" t="s">
        <v>1</v>
      </c>
    </row>
    <row r="13" spans="1:10" x14ac:dyDescent="0.2">
      <c r="A13" t="s">
        <v>4</v>
      </c>
      <c r="B13">
        <f>180-(B12+B14)</f>
        <v>30</v>
      </c>
      <c r="D13" t="s">
        <v>9</v>
      </c>
      <c r="E13">
        <f>SQRT(E12)</f>
        <v>4.3301270189221928</v>
      </c>
    </row>
    <row r="14" spans="1:10" x14ac:dyDescent="0.2">
      <c r="A14" t="s">
        <v>5</v>
      </c>
      <c r="B14">
        <f>DEGREES(ACOS(B10/B9))</f>
        <v>59.999999999999993</v>
      </c>
    </row>
    <row r="16" spans="1:10" x14ac:dyDescent="0.2">
      <c r="D16" t="s">
        <v>16</v>
      </c>
      <c r="E16">
        <f>E6+E13</f>
        <v>8.6602540378443855</v>
      </c>
    </row>
    <row r="19" spans="1:11" x14ac:dyDescent="0.2">
      <c r="K19" t="s">
        <v>12</v>
      </c>
    </row>
    <row r="20" spans="1:11" x14ac:dyDescent="0.2">
      <c r="A20" t="s">
        <v>17</v>
      </c>
    </row>
    <row r="21" spans="1:11" x14ac:dyDescent="0.2">
      <c r="A21" t="s">
        <v>18</v>
      </c>
    </row>
    <row r="22" spans="1:11" x14ac:dyDescent="0.2">
      <c r="A22" t="s">
        <v>19</v>
      </c>
    </row>
    <row r="23" spans="1:11" x14ac:dyDescent="0.2">
      <c r="A23" t="s">
        <v>30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87F26-89B3-4D97-9190-2A4E8F3CF471}">
  <sheetPr codeName="Sheet2"/>
  <dimension ref="A1:T42"/>
  <sheetViews>
    <sheetView workbookViewId="0">
      <selection activeCell="B4" sqref="B4"/>
    </sheetView>
  </sheetViews>
  <sheetFormatPr baseColWidth="10" defaultColWidth="8.83203125" defaultRowHeight="15" x14ac:dyDescent="0.2"/>
  <cols>
    <col min="18" max="18" width="12" bestFit="1" customWidth="1"/>
  </cols>
  <sheetData>
    <row r="1" spans="1:20" x14ac:dyDescent="0.2">
      <c r="A1" t="s">
        <v>11</v>
      </c>
      <c r="M1" t="s">
        <v>25</v>
      </c>
      <c r="N1" t="s">
        <v>27</v>
      </c>
    </row>
    <row r="2" spans="1:20" x14ac:dyDescent="0.2">
      <c r="A2" t="s">
        <v>0</v>
      </c>
      <c r="B2">
        <v>2.5</v>
      </c>
      <c r="D2" t="s">
        <v>6</v>
      </c>
      <c r="E2">
        <f>(B2^2+B3^2)</f>
        <v>7.8125</v>
      </c>
      <c r="M2" t="s">
        <v>26</v>
      </c>
      <c r="P2" s="7" t="s">
        <v>32</v>
      </c>
      <c r="Q2" s="7"/>
      <c r="R2" s="2"/>
      <c r="S2" s="7" t="s">
        <v>33</v>
      </c>
      <c r="T2" s="7"/>
    </row>
    <row r="3" spans="1:20" x14ac:dyDescent="0.2">
      <c r="A3" t="s">
        <v>1</v>
      </c>
      <c r="B3">
        <v>1.25</v>
      </c>
      <c r="D3" t="s">
        <v>7</v>
      </c>
      <c r="E3">
        <f>2*B2*B3</f>
        <v>6.25</v>
      </c>
      <c r="H3" t="s">
        <v>11</v>
      </c>
      <c r="I3" s="1" t="s">
        <v>4</v>
      </c>
      <c r="M3" t="s">
        <v>0</v>
      </c>
      <c r="N3">
        <v>2.5</v>
      </c>
      <c r="P3" t="s">
        <v>6</v>
      </c>
      <c r="Q3">
        <f>(N3^2+N4^2)</f>
        <v>7.8125</v>
      </c>
      <c r="S3" t="s">
        <v>9</v>
      </c>
      <c r="T3">
        <f>SQRT(N4^2+N3^2)</f>
        <v>2.7950849718747373</v>
      </c>
    </row>
    <row r="4" spans="1:20" x14ac:dyDescent="0.2">
      <c r="A4" t="s">
        <v>2</v>
      </c>
      <c r="B4">
        <f>E6</f>
        <v>2.3821994257858785</v>
      </c>
      <c r="D4" t="s">
        <v>8</v>
      </c>
      <c r="E4">
        <f>COS(RADIANS(B7))</f>
        <v>0.34202014332566882</v>
      </c>
      <c r="M4" t="s">
        <v>1</v>
      </c>
      <c r="N4">
        <v>1.25</v>
      </c>
      <c r="P4" t="s">
        <v>7</v>
      </c>
      <c r="Q4">
        <f>2*N3*N4</f>
        <v>6.25</v>
      </c>
    </row>
    <row r="5" spans="1:20" x14ac:dyDescent="0.2">
      <c r="A5" t="s">
        <v>3</v>
      </c>
      <c r="B5">
        <v>90</v>
      </c>
      <c r="D5" t="s">
        <v>10</v>
      </c>
      <c r="E5">
        <f>E2-(E3*E4)</f>
        <v>5.6748741042145703</v>
      </c>
      <c r="M5" t="s">
        <v>2</v>
      </c>
      <c r="N5">
        <f>Q7</f>
        <v>2.7950849718747373</v>
      </c>
      <c r="P5" t="s">
        <v>8</v>
      </c>
      <c r="Q5">
        <f>COS(RADIANS(N8))</f>
        <v>6.1257422745431001E-17</v>
      </c>
      <c r="S5" t="s">
        <v>24</v>
      </c>
      <c r="T5">
        <f>T3*2</f>
        <v>5.5901699437494745</v>
      </c>
    </row>
    <row r="6" spans="1:20" x14ac:dyDescent="0.2">
      <c r="A6" t="s">
        <v>4</v>
      </c>
      <c r="B6">
        <f>180-(B7+B5)</f>
        <v>20</v>
      </c>
      <c r="D6" t="s">
        <v>9</v>
      </c>
      <c r="E6">
        <f>SQRT(E5)</f>
        <v>2.3821994257858785</v>
      </c>
      <c r="H6" s="1" t="s">
        <v>0</v>
      </c>
      <c r="M6" t="s">
        <v>3</v>
      </c>
      <c r="N6" s="1" t="str">
        <f>IF(N8&lt;90,"90","60")</f>
        <v>60</v>
      </c>
      <c r="P6" t="s">
        <v>10</v>
      </c>
      <c r="Q6">
        <f>Q3-(Q4*Q5)</f>
        <v>7.8125</v>
      </c>
      <c r="S6" t="s">
        <v>31</v>
      </c>
      <c r="T6">
        <f>((T5/N3)*100)-100</f>
        <v>123.60679774997897</v>
      </c>
    </row>
    <row r="7" spans="1:20" x14ac:dyDescent="0.2">
      <c r="A7" s="4" t="s">
        <v>5</v>
      </c>
      <c r="B7" s="4">
        <v>70</v>
      </c>
      <c r="J7" t="s">
        <v>2</v>
      </c>
      <c r="M7" t="s">
        <v>4</v>
      </c>
      <c r="N7">
        <f>180-(N6+N8)</f>
        <v>30</v>
      </c>
      <c r="P7" t="s">
        <v>9</v>
      </c>
      <c r="Q7">
        <f>SQRT(Q6)</f>
        <v>2.7950849718747373</v>
      </c>
    </row>
    <row r="8" spans="1:20" x14ac:dyDescent="0.2">
      <c r="A8" t="s">
        <v>12</v>
      </c>
      <c r="M8" s="4" t="s">
        <v>5</v>
      </c>
      <c r="N8">
        <v>90</v>
      </c>
    </row>
    <row r="9" spans="1:20" x14ac:dyDescent="0.2">
      <c r="A9" t="s">
        <v>0</v>
      </c>
      <c r="B9">
        <v>2.5</v>
      </c>
      <c r="D9" t="s">
        <v>6</v>
      </c>
      <c r="E9">
        <f>(B9^2+B10^2)</f>
        <v>7.8125</v>
      </c>
      <c r="P9" t="s">
        <v>24</v>
      </c>
      <c r="Q9">
        <f>N5*2</f>
        <v>5.5901699437494745</v>
      </c>
    </row>
    <row r="10" spans="1:20" x14ac:dyDescent="0.2">
      <c r="A10" t="s">
        <v>1</v>
      </c>
      <c r="B10">
        <v>1.25</v>
      </c>
      <c r="D10" t="s">
        <v>7</v>
      </c>
      <c r="E10">
        <f>2*B9*B10</f>
        <v>6.25</v>
      </c>
      <c r="P10" t="s">
        <v>31</v>
      </c>
      <c r="Q10">
        <f>((Q9/N3)*100)-100</f>
        <v>123.60679774997897</v>
      </c>
    </row>
    <row r="11" spans="1:20" x14ac:dyDescent="0.2">
      <c r="A11" t="s">
        <v>2</v>
      </c>
      <c r="B11">
        <f>E13</f>
        <v>2.3821994257858785</v>
      </c>
      <c r="D11" t="s">
        <v>8</v>
      </c>
      <c r="E11">
        <f>COS(RADIANS(B14))</f>
        <v>0.34202014332566882</v>
      </c>
      <c r="H11" s="2" t="s">
        <v>5</v>
      </c>
      <c r="I11" s="1" t="s">
        <v>3</v>
      </c>
      <c r="N11" s="1"/>
    </row>
    <row r="12" spans="1:20" x14ac:dyDescent="0.2">
      <c r="A12" t="s">
        <v>3</v>
      </c>
      <c r="B12">
        <v>90</v>
      </c>
      <c r="D12" t="s">
        <v>10</v>
      </c>
      <c r="E12">
        <f>E9-(E10*E11)</f>
        <v>5.6748741042145703</v>
      </c>
      <c r="I12" t="s">
        <v>1</v>
      </c>
    </row>
    <row r="13" spans="1:20" x14ac:dyDescent="0.2">
      <c r="A13" t="s">
        <v>4</v>
      </c>
      <c r="B13">
        <f>180-(B14+B12)</f>
        <v>20</v>
      </c>
      <c r="D13" t="s">
        <v>9</v>
      </c>
      <c r="E13">
        <f>SQRT(E12)</f>
        <v>2.3821994257858785</v>
      </c>
    </row>
    <row r="14" spans="1:20" x14ac:dyDescent="0.2">
      <c r="A14" s="4" t="s">
        <v>5</v>
      </c>
      <c r="B14" s="4">
        <v>70</v>
      </c>
    </row>
    <row r="16" spans="1:20" x14ac:dyDescent="0.2">
      <c r="D16" t="s">
        <v>16</v>
      </c>
      <c r="E16">
        <f>E6+E13</f>
        <v>4.764398851571757</v>
      </c>
      <c r="N16" s="1"/>
    </row>
    <row r="18" spans="1:13" x14ac:dyDescent="0.2">
      <c r="D18" t="s">
        <v>23</v>
      </c>
      <c r="E18">
        <f>((E16/B2)*100)-100</f>
        <v>90.575954062870295</v>
      </c>
      <c r="M18" s="6"/>
    </row>
    <row r="19" spans="1:13" x14ac:dyDescent="0.2">
      <c r="K19" t="s">
        <v>12</v>
      </c>
    </row>
    <row r="23" spans="1:13" x14ac:dyDescent="0.2">
      <c r="G23" t="s">
        <v>11</v>
      </c>
    </row>
    <row r="24" spans="1:13" x14ac:dyDescent="0.2">
      <c r="A24" t="s">
        <v>29</v>
      </c>
      <c r="H24" s="3"/>
    </row>
    <row r="25" spans="1:13" x14ac:dyDescent="0.2">
      <c r="A25" t="s">
        <v>35</v>
      </c>
      <c r="H25" s="2" t="s">
        <v>4</v>
      </c>
    </row>
    <row r="26" spans="1:13" x14ac:dyDescent="0.2">
      <c r="A26" t="s">
        <v>36</v>
      </c>
      <c r="I26" s="1"/>
    </row>
    <row r="29" spans="1:13" x14ac:dyDescent="0.2">
      <c r="G29" s="1" t="s">
        <v>0</v>
      </c>
      <c r="H29" s="1"/>
      <c r="I29" s="1" t="s">
        <v>2</v>
      </c>
    </row>
    <row r="34" spans="8:11" x14ac:dyDescent="0.2">
      <c r="H34" s="2" t="s">
        <v>5</v>
      </c>
      <c r="I34" s="1" t="s">
        <v>3</v>
      </c>
    </row>
    <row r="35" spans="8:11" x14ac:dyDescent="0.2">
      <c r="I35" t="s">
        <v>1</v>
      </c>
    </row>
    <row r="42" spans="8:11" x14ac:dyDescent="0.2">
      <c r="K42" t="s">
        <v>12</v>
      </c>
    </row>
  </sheetData>
  <mergeCells count="2">
    <mergeCell ref="P2:Q2"/>
    <mergeCell ref="S2:T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746CD-CC3A-4400-98C2-9125E1230633}">
  <dimension ref="A1:O19"/>
  <sheetViews>
    <sheetView tabSelected="1" workbookViewId="0">
      <selection activeCell="M4" sqref="M4"/>
    </sheetView>
  </sheetViews>
  <sheetFormatPr baseColWidth="10" defaultColWidth="8.83203125" defaultRowHeight="15" x14ac:dyDescent="0.2"/>
  <sheetData>
    <row r="1" spans="1:15" x14ac:dyDescent="0.2">
      <c r="A1" t="s">
        <v>20</v>
      </c>
      <c r="D1" s="7" t="s">
        <v>32</v>
      </c>
      <c r="E1" s="7"/>
      <c r="F1" s="2"/>
      <c r="G1" s="7" t="s">
        <v>33</v>
      </c>
      <c r="H1" s="7"/>
      <c r="L1" s="2" t="s">
        <v>20</v>
      </c>
      <c r="N1" s="5" t="s">
        <v>21</v>
      </c>
      <c r="O1" s="5"/>
    </row>
    <row r="2" spans="1:15" x14ac:dyDescent="0.2">
      <c r="A2" t="s">
        <v>0</v>
      </c>
      <c r="B2">
        <v>2.5</v>
      </c>
      <c r="D2" t="s">
        <v>6</v>
      </c>
      <c r="E2">
        <f>(B2^2+B3^2)</f>
        <v>7.8125</v>
      </c>
      <c r="G2" t="s">
        <v>9</v>
      </c>
      <c r="H2">
        <f>SQRT(B3^2+B2^2)</f>
        <v>2.7950849718747373</v>
      </c>
      <c r="K2" t="s">
        <v>28</v>
      </c>
      <c r="M2" t="s">
        <v>22</v>
      </c>
      <c r="O2" t="s">
        <v>22</v>
      </c>
    </row>
    <row r="3" spans="1:15" x14ac:dyDescent="0.2">
      <c r="A3" t="s">
        <v>1</v>
      </c>
      <c r="B3">
        <v>1.25</v>
      </c>
      <c r="D3" t="s">
        <v>7</v>
      </c>
      <c r="E3">
        <f>2*B2*B3</f>
        <v>6.25</v>
      </c>
      <c r="K3">
        <v>30</v>
      </c>
      <c r="M3">
        <v>3.0982841873186895</v>
      </c>
      <c r="O3">
        <v>1.0327613957728965</v>
      </c>
    </row>
    <row r="4" spans="1:15" x14ac:dyDescent="0.2">
      <c r="A4" t="s">
        <v>2</v>
      </c>
      <c r="B4">
        <f>E6</f>
        <v>2.1650635094610964</v>
      </c>
      <c r="D4" t="s">
        <v>8</v>
      </c>
      <c r="E4">
        <f>COS(RADIANS(B7))</f>
        <v>0.50000000000000011</v>
      </c>
      <c r="G4" t="s">
        <v>24</v>
      </c>
      <c r="H4">
        <f>H2*2</f>
        <v>5.5901699437494745</v>
      </c>
      <c r="K4">
        <v>45</v>
      </c>
      <c r="M4">
        <v>3.6840643955197514</v>
      </c>
      <c r="O4">
        <v>1.2280214651732506</v>
      </c>
    </row>
    <row r="5" spans="1:15" x14ac:dyDescent="0.2">
      <c r="A5" t="s">
        <v>3</v>
      </c>
      <c r="B5" s="1" t="str">
        <f>IF(B7&lt;90,"90","60")</f>
        <v>90</v>
      </c>
      <c r="D5" t="s">
        <v>10</v>
      </c>
      <c r="E5">
        <f>E2-(E3*E4)</f>
        <v>4.6874999999999991</v>
      </c>
      <c r="G5" t="s">
        <v>31</v>
      </c>
      <c r="H5">
        <f>((H4/B2)*100)-100</f>
        <v>123.60679774997897</v>
      </c>
      <c r="K5">
        <v>60</v>
      </c>
      <c r="M5">
        <v>4.3301270189221936</v>
      </c>
      <c r="O5">
        <v>1.4433756729740645</v>
      </c>
    </row>
    <row r="6" spans="1:15" x14ac:dyDescent="0.2">
      <c r="A6" t="s">
        <v>4</v>
      </c>
      <c r="B6">
        <f>180-(B5+B7)</f>
        <v>30</v>
      </c>
      <c r="D6" t="s">
        <v>9</v>
      </c>
      <c r="E6">
        <f>SQRT(E5)</f>
        <v>2.1650635094610964</v>
      </c>
      <c r="K6">
        <v>75</v>
      </c>
      <c r="M6">
        <v>4.9779035619864098</v>
      </c>
      <c r="O6">
        <v>1.6593011873288033</v>
      </c>
    </row>
    <row r="7" spans="1:15" x14ac:dyDescent="0.2">
      <c r="A7" s="4" t="s">
        <v>5</v>
      </c>
      <c r="B7">
        <v>60</v>
      </c>
      <c r="K7">
        <v>90</v>
      </c>
      <c r="M7">
        <v>5.5901699437494745</v>
      </c>
      <c r="O7">
        <v>1.8633899812498249</v>
      </c>
    </row>
    <row r="8" spans="1:15" x14ac:dyDescent="0.2">
      <c r="D8" t="s">
        <v>24</v>
      </c>
      <c r="E8">
        <f>B4*2</f>
        <v>4.3301270189221928</v>
      </c>
    </row>
    <row r="9" spans="1:15" x14ac:dyDescent="0.2">
      <c r="D9" t="s">
        <v>31</v>
      </c>
      <c r="E9">
        <f>((E8/B2)*100)-100</f>
        <v>73.205080756887725</v>
      </c>
    </row>
    <row r="10" spans="1:15" x14ac:dyDescent="0.2">
      <c r="B10" s="1"/>
    </row>
    <row r="11" spans="1:15" x14ac:dyDescent="0.2">
      <c r="A11" t="s">
        <v>34</v>
      </c>
    </row>
    <row r="12" spans="1:15" x14ac:dyDescent="0.2">
      <c r="A12" t="s">
        <v>0</v>
      </c>
      <c r="B12">
        <f>B2/3</f>
        <v>0.83333333333333337</v>
      </c>
      <c r="D12" t="s">
        <v>6</v>
      </c>
      <c r="E12">
        <f>(B12^2+B13^2)</f>
        <v>0.86805555555555569</v>
      </c>
      <c r="G12" t="s">
        <v>9</v>
      </c>
      <c r="H12">
        <f>SQRT(B13^2+B12^2)</f>
        <v>0.93169499062491246</v>
      </c>
    </row>
    <row r="13" spans="1:15" x14ac:dyDescent="0.2">
      <c r="A13" t="s">
        <v>1</v>
      </c>
      <c r="B13">
        <f>B12/2</f>
        <v>0.41666666666666669</v>
      </c>
      <c r="D13" t="s">
        <v>7</v>
      </c>
      <c r="E13">
        <f>2*B12*B13</f>
        <v>0.69444444444444453</v>
      </c>
    </row>
    <row r="14" spans="1:15" x14ac:dyDescent="0.2">
      <c r="A14" t="s">
        <v>2</v>
      </c>
      <c r="B14">
        <f>E16</f>
        <v>0.51638069788644825</v>
      </c>
      <c r="D14" t="s">
        <v>8</v>
      </c>
      <c r="E14">
        <f>COS(RADIANS(B17))</f>
        <v>0.86602540378443871</v>
      </c>
      <c r="G14" t="s">
        <v>24</v>
      </c>
      <c r="H14">
        <f>H12*2</f>
        <v>1.8633899812498249</v>
      </c>
    </row>
    <row r="15" spans="1:15" x14ac:dyDescent="0.2">
      <c r="A15" t="s">
        <v>3</v>
      </c>
      <c r="B15" s="1" t="str">
        <f>IF(B17&lt;90,"90","60")</f>
        <v>90</v>
      </c>
      <c r="D15" t="s">
        <v>10</v>
      </c>
      <c r="E15">
        <f>E12-(E13*E14)</f>
        <v>0.26664902514969535</v>
      </c>
      <c r="G15" t="s">
        <v>31</v>
      </c>
      <c r="H15">
        <f>((H14/B12)*100)-100</f>
        <v>123.60679774997897</v>
      </c>
    </row>
    <row r="16" spans="1:15" x14ac:dyDescent="0.2">
      <c r="A16" t="s">
        <v>4</v>
      </c>
      <c r="B16">
        <f>180-(B15+B17)</f>
        <v>60</v>
      </c>
      <c r="D16" t="s">
        <v>9</v>
      </c>
      <c r="E16">
        <f>SQRT(E15)</f>
        <v>0.51638069788644825</v>
      </c>
    </row>
    <row r="17" spans="1:5" x14ac:dyDescent="0.2">
      <c r="A17" s="4" t="s">
        <v>5</v>
      </c>
      <c r="B17">
        <v>30</v>
      </c>
    </row>
    <row r="18" spans="1:5" x14ac:dyDescent="0.2">
      <c r="D18" t="s">
        <v>24</v>
      </c>
      <c r="E18">
        <f>B14*2</f>
        <v>1.0327613957728965</v>
      </c>
    </row>
    <row r="19" spans="1:5" x14ac:dyDescent="0.2">
      <c r="D19" t="s">
        <v>31</v>
      </c>
      <c r="E19">
        <f>((E18/B12)*100)-100</f>
        <v>23.931367492747583</v>
      </c>
    </row>
  </sheetData>
  <mergeCells count="2">
    <mergeCell ref="D1:E1"/>
    <mergeCell ref="G1:H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Basic Z Length</vt:lpstr>
      <vt:lpstr>Arms</vt:lpstr>
      <vt:lpstr>Angles</vt:lpstr>
      <vt:lpstr>Single vs 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Viashen</dc:creator>
  <cp:lastModifiedBy>Kruer, Tyler Nicholas - (tylerkruer)</cp:lastModifiedBy>
  <cp:lastPrinted>2022-02-07T16:27:52Z</cp:lastPrinted>
  <dcterms:created xsi:type="dcterms:W3CDTF">2022-02-07T15:41:19Z</dcterms:created>
  <dcterms:modified xsi:type="dcterms:W3CDTF">2022-03-10T03:24:13Z</dcterms:modified>
</cp:coreProperties>
</file>